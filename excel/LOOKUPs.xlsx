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 GOYAL\Downloads\"/>
    </mc:Choice>
  </mc:AlternateContent>
  <xr:revisionPtr revIDLastSave="0" documentId="13_ncr:1_{FA482B7E-0DA3-4A1C-98BE-93936C7C2B90}" xr6:coauthVersionLast="47" xr6:coauthVersionMax="47" xr10:uidLastSave="{00000000-0000-0000-0000-000000000000}"/>
  <bookViews>
    <workbookView xWindow="-110" yWindow="-110" windowWidth="22620" windowHeight="13500" xr2:uid="{2E37A440-06E2-4C4F-9FC0-1686DBAE8270}"/>
  </bookViews>
  <sheets>
    <sheet name="VLOOKUP" sheetId="1" r:id="rId1"/>
    <sheet name="HLOOKUP" sheetId="2" r:id="rId2"/>
    <sheet name="X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" l="1"/>
  <c r="N19" i="3"/>
  <c r="I15" i="3"/>
  <c r="I11" i="3" a="1"/>
  <c r="I11" i="3" s="1"/>
  <c r="P14" i="3"/>
  <c r="P13" i="3"/>
  <c r="P12" i="3"/>
  <c r="P11" i="3"/>
  <c r="P10" i="3"/>
  <c r="P9" i="3"/>
  <c r="P8" i="3"/>
  <c r="P7" i="3"/>
  <c r="P6" i="3"/>
  <c r="P5" i="3"/>
  <c r="P4" i="3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P3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I8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E3" i="3"/>
  <c r="C9" i="2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I3" i="1"/>
  <c r="F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<sst xmlns="http://schemas.openxmlformats.org/spreadsheetml/2006/main" count="123" uniqueCount="45">
  <si>
    <t>Salesperson</t>
  </si>
  <si>
    <t>ID Number</t>
  </si>
  <si>
    <t>Date</t>
  </si>
  <si>
    <t>Sale Amount</t>
  </si>
  <si>
    <t>Commission</t>
  </si>
  <si>
    <t>Kennedi Singh</t>
  </si>
  <si>
    <t>Harley Fritz</t>
  </si>
  <si>
    <t>Nyla Novak</t>
  </si>
  <si>
    <t>David Rasmussen</t>
  </si>
  <si>
    <t>Ivan Hines</t>
  </si>
  <si>
    <t>Jonah Higgins</t>
  </si>
  <si>
    <t>Jordan Boone</t>
  </si>
  <si>
    <t>Kylee Townsend</t>
  </si>
  <si>
    <t>Nora Rollins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</si>
  <si>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</si>
  <si>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</si>
  <si>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</si>
  <si>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</si>
  <si>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</si>
  <si>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</si>
  <si>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</si>
  <si>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</si>
  <si>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</si>
  <si>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</si>
  <si>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</si>
  <si>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</si>
  <si>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</si>
  <si>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Vlookup</t>
  </si>
  <si>
    <t>Xlookup</t>
  </si>
  <si>
    <t>Company</t>
  </si>
  <si>
    <t>Name</t>
  </si>
  <si>
    <t>Coca-Cola Inc.</t>
  </si>
  <si>
    <t>Nike</t>
  </si>
  <si>
    <t>Nike Inc.</t>
  </si>
  <si>
    <t>Amazon UK</t>
  </si>
  <si>
    <t>Apple EMEA</t>
  </si>
  <si>
    <t>XYZ Limited</t>
  </si>
  <si>
    <t>Pepsi Co</t>
  </si>
  <si>
    <t>Adobe Inc</t>
  </si>
  <si>
    <t>Zara Fashion</t>
  </si>
  <si>
    <t>H&amp;M International</t>
  </si>
  <si>
    <t>Ralph Lauren Int.</t>
  </si>
  <si>
    <t>Adidas Co.</t>
  </si>
  <si>
    <t>P&amp;G Global</t>
  </si>
  <si>
    <t>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</si>
</sst>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3" borderId="0" xfId="0" applyFont="1" applyFill="1"/>
    <xf numFmtId="0" fontId="4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9715-F05D-4B35-B097-5E41F10C4115}">
  <dimension ref="A1:I24"/>
  <sheetViews>
    <sheetView tabSelected="1" workbookViewId="0">
      <selection activeCell="F30" sqref="F30"/>
    </sheetView>
  </sheetViews>
  <sheetFormatPr defaultRowHeight="14.5" x14ac:dyDescent="0.35"/>
  <cols>
    <col min="2" max="2" width="15.453125" bestFit="1" customWidth="1"/>
    <col min="3" max="3" width="10.7265625" bestFit="1" customWidth="1"/>
    <col min="4" max="4" width="9.453125" bestFit="1" customWidth="1"/>
    <col min="5" max="5" width="12.453125" bestFit="1" customWidth="1"/>
    <col min="6" max="6" width="12.08984375" bestFit="1" customWidth="1"/>
    <col min="8" max="8" width="11.81640625" bestFit="1" customWidth="1"/>
    <col min="9" max="9" width="12.08984375" bestFit="1" customWidth="1"/>
  </cols>
  <sheetData>
    <row r="1" spans="1:9" x14ac:dyDescent="0.35">
      <c r="A1" s="1"/>
    </row>
    <row r="2" spans="1:9" ht="15.5" x14ac:dyDescent="0.3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H2" s="2" t="s">
        <v>0</v>
      </c>
      <c r="I2" s="2" t="s">
        <v>4</v>
      </c>
    </row>
    <row r="3" spans="1:9" x14ac:dyDescent="0.35">
      <c r="B3" t="s">
        <v>5</v>
      </c>
      <c r="C3" s="3">
        <v>124300</v>
      </c>
      <c r="D3" s="4">
        <v>44754</v>
      </c>
      <c r="E3" s="5">
        <v>5436.33</v>
      </c>
      <c r="F3" s="5">
        <f>E3*0.2</f>
        <v>1087.2660000000001</v>
      </c>
      <c r="H3" t="s">
        <v>6</v>
      </c>
      <c r="I3" s="5">
        <f>VLOOKUP(H3,B3:F24,5,FALSE)</f>
        <v>1239.48324</v>
      </c>
    </row>
    <row r="4" spans="1:9" x14ac:dyDescent="0.35">
      <c r="B4" t="s">
        <v>6</v>
      </c>
      <c r="C4" s="3">
        <f>C3*1.2</f>
        <v>149160</v>
      </c>
      <c r="D4" s="4">
        <v>44751</v>
      </c>
      <c r="E4" s="5">
        <v>6197.4161999999997</v>
      </c>
      <c r="F4" s="5">
        <f t="shared" ref="F4:F24" si="0">E4*0.2</f>
        <v>1239.48324</v>
      </c>
    </row>
    <row r="5" spans="1:9" x14ac:dyDescent="0.35">
      <c r="B5" t="s">
        <v>7</v>
      </c>
      <c r="C5" s="3">
        <f>C4*1.02</f>
        <v>152143.20000000001</v>
      </c>
      <c r="D5" s="4">
        <v>44753</v>
      </c>
      <c r="E5" s="5">
        <v>7065.0544679999994</v>
      </c>
      <c r="F5" s="5">
        <f t="shared" si="0"/>
        <v>1413.0108935999999</v>
      </c>
    </row>
    <row r="6" spans="1:9" x14ac:dyDescent="0.35">
      <c r="B6" t="s">
        <v>8</v>
      </c>
      <c r="C6" s="3">
        <f>C5*0.8</f>
        <v>121714.56000000001</v>
      </c>
      <c r="D6" s="4">
        <v>44748</v>
      </c>
      <c r="E6" s="5">
        <v>8054.1620935199981</v>
      </c>
      <c r="F6" s="5">
        <f t="shared" si="0"/>
        <v>1610.8324187039998</v>
      </c>
    </row>
    <row r="7" spans="1:9" x14ac:dyDescent="0.35">
      <c r="B7" t="s">
        <v>9</v>
      </c>
      <c r="C7" s="3">
        <f>C6*0.9</f>
        <v>109543.10400000001</v>
      </c>
      <c r="D7" s="4">
        <v>44752</v>
      </c>
      <c r="E7" s="5">
        <v>9181.7447866127968</v>
      </c>
      <c r="F7" s="5">
        <f t="shared" si="0"/>
        <v>1836.3489573225595</v>
      </c>
    </row>
    <row r="8" spans="1:9" x14ac:dyDescent="0.35">
      <c r="B8" t="s">
        <v>10</v>
      </c>
      <c r="C8" s="3">
        <f>C7*1.1</f>
        <v>120497.41440000002</v>
      </c>
      <c r="D8" s="4">
        <v>44755</v>
      </c>
      <c r="E8" s="5">
        <v>10467.189056738587</v>
      </c>
      <c r="F8" s="5">
        <f t="shared" si="0"/>
        <v>2093.4378113477173</v>
      </c>
    </row>
    <row r="9" spans="1:9" x14ac:dyDescent="0.35">
      <c r="B9" t="s">
        <v>11</v>
      </c>
      <c r="C9" s="3">
        <f>C8*1.02</f>
        <v>122907.36268800002</v>
      </c>
      <c r="D9" s="4">
        <v>44757</v>
      </c>
      <c r="E9" s="5">
        <v>2446.3485000000001</v>
      </c>
      <c r="F9" s="5">
        <f t="shared" si="0"/>
        <v>489.26970000000006</v>
      </c>
    </row>
    <row r="10" spans="1:9" x14ac:dyDescent="0.35">
      <c r="B10" t="s">
        <v>12</v>
      </c>
      <c r="C10" s="3">
        <f>C9*0.8</f>
        <v>98325.890150400024</v>
      </c>
      <c r="D10" s="4">
        <v>44754</v>
      </c>
      <c r="E10" s="5">
        <v>2690.9833500000004</v>
      </c>
      <c r="F10" s="5">
        <f t="shared" si="0"/>
        <v>538.19667000000015</v>
      </c>
    </row>
    <row r="11" spans="1:9" x14ac:dyDescent="0.35">
      <c r="B11" t="s">
        <v>13</v>
      </c>
      <c r="C11" s="3">
        <f>C10*0.9</f>
        <v>88493.30113536003</v>
      </c>
      <c r="D11" s="4">
        <v>44756</v>
      </c>
      <c r="E11" s="5">
        <v>2960.0816850000001</v>
      </c>
      <c r="F11" s="5">
        <f t="shared" si="0"/>
        <v>592.01633700000002</v>
      </c>
    </row>
    <row r="12" spans="1:9" x14ac:dyDescent="0.35">
      <c r="B12" t="s">
        <v>14</v>
      </c>
      <c r="C12" s="3">
        <f>C11*1.1</f>
        <v>97342.631248896039</v>
      </c>
      <c r="D12" s="4">
        <v>44751</v>
      </c>
      <c r="E12" s="5">
        <v>3256.0898535000001</v>
      </c>
      <c r="F12" s="5">
        <f t="shared" si="0"/>
        <v>651.21797070000002</v>
      </c>
    </row>
    <row r="13" spans="1:9" x14ac:dyDescent="0.35">
      <c r="B13" t="s">
        <v>15</v>
      </c>
      <c r="C13" s="3">
        <f>C12*1.02</f>
        <v>99289.483873873964</v>
      </c>
      <c r="D13" s="4">
        <v>44755</v>
      </c>
      <c r="E13" s="5">
        <v>3581.6988388500008</v>
      </c>
      <c r="F13" s="5">
        <f t="shared" si="0"/>
        <v>716.33976777000021</v>
      </c>
    </row>
    <row r="14" spans="1:9" x14ac:dyDescent="0.35">
      <c r="B14" t="s">
        <v>16</v>
      </c>
      <c r="C14" s="3">
        <f>C13*0.8</f>
        <v>79431.587099099183</v>
      </c>
      <c r="D14" s="4">
        <v>44758</v>
      </c>
      <c r="E14" s="5">
        <v>3939.8687227350015</v>
      </c>
      <c r="F14" s="5">
        <f t="shared" si="0"/>
        <v>787.97374454700036</v>
      </c>
    </row>
    <row r="15" spans="1:9" x14ac:dyDescent="0.35">
      <c r="B15" t="s">
        <v>17</v>
      </c>
      <c r="C15" s="3">
        <f>C14*0.9</f>
        <v>71488.42838918927</v>
      </c>
      <c r="D15" s="4">
        <v>44760</v>
      </c>
      <c r="E15" s="5">
        <v>4333.855595008502</v>
      </c>
      <c r="F15" s="5">
        <f t="shared" si="0"/>
        <v>866.77111900170041</v>
      </c>
    </row>
    <row r="16" spans="1:9" x14ac:dyDescent="0.35">
      <c r="B16" t="s">
        <v>18</v>
      </c>
      <c r="C16" s="3">
        <f>C15*1.1</f>
        <v>78637.271228108206</v>
      </c>
      <c r="D16" s="4">
        <v>44757</v>
      </c>
      <c r="E16" s="5">
        <v>4767.2411545093528</v>
      </c>
      <c r="F16" s="5">
        <f t="shared" si="0"/>
        <v>953.4482309018706</v>
      </c>
    </row>
    <row r="17" spans="2:6" x14ac:dyDescent="0.35">
      <c r="B17" t="s">
        <v>19</v>
      </c>
      <c r="C17" s="3">
        <f>C16*1.02</f>
        <v>80210.016652670369</v>
      </c>
      <c r="D17" s="4">
        <v>44759</v>
      </c>
      <c r="E17" s="5">
        <v>5243.9652699602884</v>
      </c>
      <c r="F17" s="5">
        <f t="shared" si="0"/>
        <v>1048.7930539920578</v>
      </c>
    </row>
    <row r="18" spans="2:6" x14ac:dyDescent="0.35">
      <c r="B18" t="s">
        <v>20</v>
      </c>
      <c r="C18" s="3">
        <f>C17*0.8</f>
        <v>64168.013322136299</v>
      </c>
      <c r="D18" s="4">
        <v>44754</v>
      </c>
      <c r="E18" s="5">
        <v>5768.3617969563174</v>
      </c>
      <c r="F18" s="5">
        <f t="shared" si="0"/>
        <v>1153.6723593912636</v>
      </c>
    </row>
    <row r="19" spans="2:6" x14ac:dyDescent="0.35">
      <c r="B19" t="s">
        <v>21</v>
      </c>
      <c r="C19" s="3">
        <f>C18*0.9</f>
        <v>57751.211989922667</v>
      </c>
      <c r="D19" s="4">
        <v>44758</v>
      </c>
      <c r="E19" s="5">
        <v>5191.525617260686</v>
      </c>
      <c r="F19" s="5">
        <f t="shared" si="0"/>
        <v>1038.3051234521372</v>
      </c>
    </row>
    <row r="20" spans="2:6" x14ac:dyDescent="0.35">
      <c r="B20" t="s">
        <v>22</v>
      </c>
      <c r="C20" s="3">
        <f>C19*1.1</f>
        <v>63526.333188914941</v>
      </c>
      <c r="D20" s="4">
        <v>44761</v>
      </c>
      <c r="E20" s="5">
        <v>6748.9833024388909</v>
      </c>
      <c r="F20" s="5">
        <f t="shared" si="0"/>
        <v>1349.7966604877784</v>
      </c>
    </row>
    <row r="21" spans="2:6" x14ac:dyDescent="0.35">
      <c r="B21" t="s">
        <v>23</v>
      </c>
      <c r="C21" s="3">
        <f>C20*1.02</f>
        <v>64796.85985269324</v>
      </c>
      <c r="D21" s="4">
        <v>44763</v>
      </c>
      <c r="E21" s="5">
        <v>8773.6782931705584</v>
      </c>
      <c r="F21" s="5">
        <f t="shared" si="0"/>
        <v>1754.7356586341118</v>
      </c>
    </row>
    <row r="22" spans="2:6" x14ac:dyDescent="0.35">
      <c r="B22" t="s">
        <v>24</v>
      </c>
      <c r="C22" s="3">
        <f>C21*0.8</f>
        <v>51837.487882154594</v>
      </c>
      <c r="D22" s="4">
        <v>44760</v>
      </c>
      <c r="E22" s="5">
        <v>11405.781781121728</v>
      </c>
      <c r="F22" s="5">
        <f t="shared" si="0"/>
        <v>2281.1563562243459</v>
      </c>
    </row>
    <row r="23" spans="2:6" x14ac:dyDescent="0.35">
      <c r="B23" t="s">
        <v>25</v>
      </c>
      <c r="C23" s="3">
        <f>C22*0.9</f>
        <v>46653.739093939133</v>
      </c>
      <c r="D23" s="4">
        <v>44762</v>
      </c>
      <c r="E23" s="5">
        <v>6650</v>
      </c>
      <c r="F23" s="5">
        <f t="shared" si="0"/>
        <v>1330</v>
      </c>
    </row>
    <row r="24" spans="2:6" x14ac:dyDescent="0.35">
      <c r="B24" t="s">
        <v>26</v>
      </c>
      <c r="C24" s="3">
        <f>C23*1.1</f>
        <v>51319.113003333048</v>
      </c>
      <c r="D24" s="4">
        <v>44757</v>
      </c>
      <c r="E24" s="5">
        <v>7341</v>
      </c>
      <c r="F24" s="5">
        <f t="shared" si="0"/>
        <v>1468.2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D591-9F12-4F09-8B88-D6CA7C97778C}">
  <dimension ref="B2:X9"/>
  <sheetViews>
    <sheetView workbookViewId="0">
      <selection activeCell="F27" sqref="F27"/>
    </sheetView>
  </sheetViews>
  <sheetFormatPr defaultRowHeight="14.5" x14ac:dyDescent="0.35"/>
  <cols>
    <col min="2" max="3" width="12.453125" bestFit="1" customWidth="1"/>
    <col min="4" max="4" width="10.1796875" bestFit="1" customWidth="1"/>
    <col min="5" max="5" width="10.08984375" bestFit="1" customWidth="1"/>
    <col min="6" max="6" width="15.453125" bestFit="1" customWidth="1"/>
    <col min="7" max="7" width="9.453125" bestFit="1" customWidth="1"/>
    <col min="8" max="8" width="12.08984375" bestFit="1" customWidth="1"/>
    <col min="9" max="9" width="12.26953125" bestFit="1" customWidth="1"/>
    <col min="10" max="10" width="14.36328125" bestFit="1" customWidth="1"/>
    <col min="11" max="11" width="10.81640625" bestFit="1" customWidth="1"/>
    <col min="12" max="12" width="13.453125" bestFit="1" customWidth="1"/>
    <col min="13" max="13" width="10.81640625" bestFit="1" customWidth="1"/>
    <col min="14" max="14" width="11" bestFit="1" customWidth="1"/>
    <col min="15" max="15" width="13.6328125" bestFit="1" customWidth="1"/>
    <col min="16" max="16" width="12.1796875" bestFit="1" customWidth="1"/>
    <col min="17" max="17" width="11.90625" bestFit="1" customWidth="1"/>
    <col min="18" max="18" width="13.453125" bestFit="1" customWidth="1"/>
    <col min="19" max="19" width="12.6328125" bestFit="1" customWidth="1"/>
    <col min="20" max="20" width="9.453125" bestFit="1" customWidth="1"/>
    <col min="21" max="21" width="12.36328125" bestFit="1" customWidth="1"/>
    <col min="22" max="22" width="14.26953125" bestFit="1" customWidth="1"/>
    <col min="23" max="23" width="14.54296875" bestFit="1" customWidth="1"/>
    <col min="24" max="24" width="9.453125" bestFit="1" customWidth="1"/>
  </cols>
  <sheetData>
    <row r="2" spans="2:24" ht="15.5" x14ac:dyDescent="0.35">
      <c r="B2" s="6" t="s">
        <v>0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</row>
    <row r="3" spans="2:24" ht="15.5" x14ac:dyDescent="0.35">
      <c r="B3" s="6" t="s">
        <v>1</v>
      </c>
      <c r="C3" s="3">
        <v>124300</v>
      </c>
      <c r="D3" s="3">
        <v>149160</v>
      </c>
      <c r="E3" s="3">
        <v>152143.20000000001</v>
      </c>
      <c r="F3" s="3">
        <v>121714.56000000001</v>
      </c>
      <c r="G3" s="3">
        <v>109543.10400000001</v>
      </c>
      <c r="H3" s="3">
        <v>120497.41440000002</v>
      </c>
      <c r="I3" s="3">
        <v>122907.36268800002</v>
      </c>
      <c r="J3" s="3">
        <v>98325.890150400024</v>
      </c>
      <c r="K3" s="3">
        <v>88493.30113536003</v>
      </c>
      <c r="L3" s="3">
        <v>97342.631248896039</v>
      </c>
      <c r="M3" s="3">
        <v>99289.483873873964</v>
      </c>
      <c r="N3" s="3">
        <v>79431.587099099183</v>
      </c>
      <c r="O3" s="3">
        <v>71488.42838918927</v>
      </c>
      <c r="P3" s="3">
        <v>78637.271228108206</v>
      </c>
      <c r="Q3" s="3">
        <v>80210.016652670369</v>
      </c>
      <c r="R3" s="3">
        <v>64168.013322136299</v>
      </c>
      <c r="S3" s="3">
        <v>57751.211989922667</v>
      </c>
      <c r="T3" s="3">
        <v>63526.333188914941</v>
      </c>
      <c r="U3" s="3">
        <v>64796.85985269324</v>
      </c>
      <c r="V3" s="3">
        <v>51837.487882154594</v>
      </c>
      <c r="W3" s="3">
        <v>46653.739093939133</v>
      </c>
      <c r="X3" s="3">
        <v>51319.113003333048</v>
      </c>
    </row>
    <row r="4" spans="2:24" ht="15.5" x14ac:dyDescent="0.35">
      <c r="B4" s="6" t="s">
        <v>2</v>
      </c>
      <c r="C4" s="4">
        <v>44754</v>
      </c>
      <c r="D4" s="4">
        <v>44751</v>
      </c>
      <c r="E4" s="4">
        <v>44753</v>
      </c>
      <c r="F4" s="4">
        <v>44748</v>
      </c>
      <c r="G4" s="4">
        <v>44752</v>
      </c>
      <c r="H4" s="4">
        <v>44755</v>
      </c>
      <c r="I4" s="4">
        <v>44757</v>
      </c>
      <c r="J4" s="4">
        <v>44754</v>
      </c>
      <c r="K4" s="4">
        <v>44756</v>
      </c>
      <c r="L4" s="4">
        <v>44751</v>
      </c>
      <c r="M4" s="4">
        <v>44755</v>
      </c>
      <c r="N4" s="4">
        <v>44758</v>
      </c>
      <c r="O4" s="4">
        <v>44760</v>
      </c>
      <c r="P4" s="4">
        <v>44757</v>
      </c>
      <c r="Q4" s="4">
        <v>44759</v>
      </c>
      <c r="R4" s="4">
        <v>44754</v>
      </c>
      <c r="S4" s="4">
        <v>44758</v>
      </c>
      <c r="T4" s="4">
        <v>44761</v>
      </c>
      <c r="U4" s="4">
        <v>44763</v>
      </c>
      <c r="V4" s="4">
        <v>44760</v>
      </c>
      <c r="W4" s="4">
        <v>44762</v>
      </c>
      <c r="X4" s="4">
        <v>44757</v>
      </c>
    </row>
    <row r="5" spans="2:24" ht="15.5" x14ac:dyDescent="0.35">
      <c r="B5" s="6" t="s">
        <v>3</v>
      </c>
      <c r="C5" s="5">
        <v>5436.33</v>
      </c>
      <c r="D5" s="5">
        <v>6197.4161999999997</v>
      </c>
      <c r="E5" s="5">
        <v>7065.0544679999994</v>
      </c>
      <c r="F5" s="5">
        <v>8054.1620935199981</v>
      </c>
      <c r="G5" s="5">
        <v>9181.7447866127968</v>
      </c>
      <c r="H5" s="5">
        <v>10467.189056738587</v>
      </c>
      <c r="I5" s="5">
        <v>2446.3485000000001</v>
      </c>
      <c r="J5" s="5">
        <v>2690.9833500000004</v>
      </c>
      <c r="K5" s="5">
        <v>2960.0816850000001</v>
      </c>
      <c r="L5" s="5">
        <v>3256.0898535000001</v>
      </c>
      <c r="M5" s="5">
        <v>3581.6988388500008</v>
      </c>
      <c r="N5" s="5">
        <v>3939.8687227350015</v>
      </c>
      <c r="O5" s="5">
        <v>4333.855595008502</v>
      </c>
      <c r="P5" s="5">
        <v>4767.2411545093528</v>
      </c>
      <c r="Q5" s="5">
        <v>5243.9652699602884</v>
      </c>
      <c r="R5" s="5">
        <v>5768.3617969563174</v>
      </c>
      <c r="S5" s="5">
        <v>5191.525617260686</v>
      </c>
      <c r="T5" s="5">
        <v>6748.9833024388909</v>
      </c>
      <c r="U5" s="5">
        <v>8773.6782931705584</v>
      </c>
      <c r="V5" s="5">
        <v>11405.781781121728</v>
      </c>
      <c r="W5" s="5">
        <v>6650</v>
      </c>
      <c r="X5" s="5">
        <v>7341</v>
      </c>
    </row>
    <row r="6" spans="2:24" ht="15.5" x14ac:dyDescent="0.35">
      <c r="B6" s="6" t="s">
        <v>4</v>
      </c>
      <c r="C6" s="5">
        <v>1087.2660000000001</v>
      </c>
      <c r="D6" s="5">
        <v>1239.48324</v>
      </c>
      <c r="E6" s="5">
        <v>1413.0108935999999</v>
      </c>
      <c r="F6" s="5">
        <v>1610.8324187039998</v>
      </c>
      <c r="G6" s="5">
        <v>1836.3489573225595</v>
      </c>
      <c r="H6" s="5">
        <v>2093.4378113477173</v>
      </c>
      <c r="I6" s="5">
        <v>489.26970000000006</v>
      </c>
      <c r="J6" s="5">
        <v>538.19667000000015</v>
      </c>
      <c r="K6" s="5">
        <v>592.01633700000002</v>
      </c>
      <c r="L6" s="5">
        <v>651.21797070000002</v>
      </c>
      <c r="M6" s="5">
        <v>716.33976777000021</v>
      </c>
      <c r="N6" s="5">
        <v>787.97374454700036</v>
      </c>
      <c r="O6" s="5">
        <v>866.77111900170041</v>
      </c>
      <c r="P6" s="5">
        <v>953.4482309018706</v>
      </c>
      <c r="Q6" s="5">
        <v>1048.7930539920578</v>
      </c>
      <c r="R6" s="5">
        <v>1153.6723593912636</v>
      </c>
      <c r="S6" s="5">
        <v>1038.3051234521372</v>
      </c>
      <c r="T6" s="5">
        <v>1349.7966604877784</v>
      </c>
      <c r="U6" s="5">
        <v>1754.7356586341118</v>
      </c>
      <c r="V6" s="5">
        <v>2281.1563562243459</v>
      </c>
      <c r="W6" s="5">
        <v>1330</v>
      </c>
      <c r="X6" s="5">
        <v>1468.2</v>
      </c>
    </row>
    <row r="8" spans="2:24" ht="15.5" x14ac:dyDescent="0.35">
      <c r="B8" s="6" t="s">
        <v>0</v>
      </c>
      <c r="C8" s="6" t="s">
        <v>4</v>
      </c>
    </row>
    <row r="9" spans="2:24" x14ac:dyDescent="0.35">
      <c r="B9" t="s">
        <v>6</v>
      </c>
      <c r="C9" s="5">
        <f>HLOOKUP(B9,C2:X6,5,FALSE)</f>
        <v>1239.48324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3AEB-BA93-4903-85CB-21489B9B637B}">
  <dimension ref="B2:P24"/>
  <sheetViews>
    <sheetView workbookViewId="0">
      <selection activeCell="I5" sqref="I5"/>
    </sheetView>
  </sheetViews>
  <sheetFormatPr defaultRowHeight="14.5" x14ac:dyDescent="0.35"/>
  <cols>
    <col min="2" max="2" width="10.7265625" bestFit="1" customWidth="1"/>
    <col min="3" max="3" width="9.453125" bestFit="1" customWidth="1"/>
    <col min="4" max="4" width="12.453125" bestFit="1" customWidth="1"/>
    <col min="5" max="5" width="12.08984375" bestFit="1" customWidth="1"/>
    <col min="6" max="6" width="15.453125" bestFit="1" customWidth="1"/>
    <col min="8" max="8" width="11.81640625" bestFit="1" customWidth="1"/>
    <col min="9" max="9" width="12.453125" bestFit="1" customWidth="1"/>
    <col min="10" max="10" width="12.08984375" bestFit="1" customWidth="1"/>
    <col min="12" max="12" width="18" bestFit="1" customWidth="1"/>
    <col min="13" max="13" width="10.7265625" bestFit="1" customWidth="1"/>
    <col min="14" max="15" width="12.453125" bestFit="1" customWidth="1"/>
    <col min="16" max="16" width="12.08984375" bestFit="1" customWidth="1"/>
  </cols>
  <sheetData>
    <row r="2" spans="2:16" ht="15.5" x14ac:dyDescent="0.35">
      <c r="B2" s="2" t="s">
        <v>1</v>
      </c>
      <c r="C2" s="2" t="s">
        <v>2</v>
      </c>
      <c r="D2" s="2" t="s">
        <v>3</v>
      </c>
      <c r="E2" s="2" t="s">
        <v>4</v>
      </c>
      <c r="F2" s="2" t="s">
        <v>0</v>
      </c>
      <c r="H2" s="13" t="s">
        <v>27</v>
      </c>
      <c r="I2" s="13"/>
      <c r="L2" s="2" t="s">
        <v>29</v>
      </c>
      <c r="M2" s="2" t="s">
        <v>1</v>
      </c>
      <c r="N2" s="2" t="s">
        <v>2</v>
      </c>
      <c r="O2" s="2" t="s">
        <v>3</v>
      </c>
      <c r="P2" s="2" t="s">
        <v>4</v>
      </c>
    </row>
    <row r="3" spans="2:16" ht="15.5" x14ac:dyDescent="0.35">
      <c r="B3" s="7">
        <v>124300</v>
      </c>
      <c r="C3" s="8">
        <v>44754</v>
      </c>
      <c r="D3" s="9">
        <v>5436.33</v>
      </c>
      <c r="E3" s="9">
        <f>D3*0.2</f>
        <v>1087.2660000000001</v>
      </c>
      <c r="F3" t="s">
        <v>5</v>
      </c>
      <c r="H3" s="10" t="s">
        <v>0</v>
      </c>
      <c r="I3" s="10" t="s">
        <v>4</v>
      </c>
      <c r="L3" s="11" t="s">
        <v>31</v>
      </c>
      <c r="M3" s="7">
        <v>124300</v>
      </c>
      <c r="N3" s="8">
        <v>44754</v>
      </c>
      <c r="O3" s="9">
        <v>5436.33</v>
      </c>
      <c r="P3" s="9">
        <f>O3*0.2</f>
        <v>1087.2660000000001</v>
      </c>
    </row>
    <row r="4" spans="2:16" ht="15.5" x14ac:dyDescent="0.35">
      <c r="B4" s="7">
        <f>B3*1.2</f>
        <v>149160</v>
      </c>
      <c r="C4" s="8">
        <v>44751</v>
      </c>
      <c r="D4" s="9">
        <v>6197.4161999999997</v>
      </c>
      <c r="E4" s="9">
        <f t="shared" ref="E4:E24" si="0">D4*0.2</f>
        <v>1239.48324</v>
      </c>
      <c r="F4" t="s">
        <v>6</v>
      </c>
      <c r="H4" t="s">
        <v>6</v>
      </c>
      <c r="I4" s="5" t="e">
        <f>VLOOKUP(H4,B3:F24,-1,FALSE)</f>
        <v>#N/A</v>
      </c>
      <c r="L4" s="11" t="s">
        <v>33</v>
      </c>
      <c r="M4" s="7">
        <f>M3*1.2</f>
        <v>149160</v>
      </c>
      <c r="N4" s="8">
        <v>44751</v>
      </c>
      <c r="O4" s="9">
        <v>6197.4161999999997</v>
      </c>
      <c r="P4" s="9">
        <f t="shared" ref="P4:P14" si="1">O4*0.2</f>
        <v>1239.48324</v>
      </c>
    </row>
    <row r="5" spans="2:16" ht="15.5" x14ac:dyDescent="0.35">
      <c r="B5" s="7">
        <f>B4*1.02</f>
        <v>152143.20000000001</v>
      </c>
      <c r="C5" s="8">
        <v>44753</v>
      </c>
      <c r="D5" s="9">
        <v>7065.0544679999994</v>
      </c>
      <c r="E5" s="9">
        <f t="shared" si="0"/>
        <v>1413.0108935999999</v>
      </c>
      <c r="F5" t="s">
        <v>7</v>
      </c>
      <c r="L5" s="11" t="s">
        <v>34</v>
      </c>
      <c r="M5" s="7">
        <f>M4*1.02</f>
        <v>152143.20000000001</v>
      </c>
      <c r="N5" s="8">
        <v>44753</v>
      </c>
      <c r="O5" s="9">
        <v>7065.0544679999994</v>
      </c>
      <c r="P5" s="9">
        <f t="shared" si="1"/>
        <v>1413.0108935999999</v>
      </c>
    </row>
    <row r="6" spans="2:16" ht="15.5" x14ac:dyDescent="0.35">
      <c r="B6" s="7">
        <f>B5*0.8</f>
        <v>121714.56000000001</v>
      </c>
      <c r="C6" s="8">
        <v>44748</v>
      </c>
      <c r="D6" s="9">
        <v>8054.1620935199981</v>
      </c>
      <c r="E6" s="9">
        <f t="shared" si="0"/>
        <v>1610.8324187039998</v>
      </c>
      <c r="F6" t="s">
        <v>8</v>
      </c>
      <c r="H6" s="13" t="s">
        <v>28</v>
      </c>
      <c r="I6" s="13"/>
      <c r="L6" s="11" t="s">
        <v>35</v>
      </c>
      <c r="M6" s="7">
        <f>M5*0.8</f>
        <v>121714.56000000001</v>
      </c>
      <c r="N6" s="8">
        <v>44748</v>
      </c>
      <c r="O6" s="9">
        <v>8054.1620935199981</v>
      </c>
      <c r="P6" s="9">
        <f t="shared" si="1"/>
        <v>1610.8324187039998</v>
      </c>
    </row>
    <row r="7" spans="2:16" ht="15.5" x14ac:dyDescent="0.35">
      <c r="B7" s="7">
        <f>B6*0.9</f>
        <v>109543.10400000001</v>
      </c>
      <c r="C7" s="8">
        <v>44752</v>
      </c>
      <c r="D7" s="9">
        <v>9181.7447866127968</v>
      </c>
      <c r="E7" s="9">
        <f t="shared" si="0"/>
        <v>1836.3489573225595</v>
      </c>
      <c r="F7" t="s">
        <v>9</v>
      </c>
      <c r="H7" s="10" t="s">
        <v>0</v>
      </c>
      <c r="I7" s="10" t="s">
        <v>4</v>
      </c>
      <c r="L7" s="11" t="s">
        <v>36</v>
      </c>
      <c r="M7" s="7">
        <f>M6*0.9</f>
        <v>109543.10400000001</v>
      </c>
      <c r="N7" s="8">
        <v>44752</v>
      </c>
      <c r="O7" s="9">
        <v>9181.7447866127968</v>
      </c>
      <c r="P7" s="9">
        <f t="shared" si="1"/>
        <v>1836.3489573225595</v>
      </c>
    </row>
    <row r="8" spans="2:16" ht="15.5" x14ac:dyDescent="0.35">
      <c r="B8" s="7">
        <f>B7*1.1</f>
        <v>120497.41440000002</v>
      </c>
      <c r="C8" s="8">
        <v>44755</v>
      </c>
      <c r="D8" s="9">
        <v>10467.189056738587</v>
      </c>
      <c r="E8" s="9">
        <f t="shared" si="0"/>
        <v>2093.4378113477173</v>
      </c>
      <c r="F8" t="s">
        <v>10</v>
      </c>
      <c r="H8" t="s">
        <v>6</v>
      </c>
      <c r="I8" s="5">
        <f>_xlfn.XLOOKUP(H8,F3:F24,E3:E24)</f>
        <v>1239.48324</v>
      </c>
      <c r="L8" s="11" t="s">
        <v>37</v>
      </c>
      <c r="M8" s="7">
        <f>M7*1.1</f>
        <v>120497.41440000002</v>
      </c>
      <c r="N8" s="8">
        <v>44755</v>
      </c>
      <c r="O8" s="9">
        <v>10467.189056738587</v>
      </c>
      <c r="P8" s="9">
        <f t="shared" si="1"/>
        <v>2093.4378113477173</v>
      </c>
    </row>
    <row r="9" spans="2:16" ht="15.5" x14ac:dyDescent="0.35">
      <c r="B9" s="7">
        <f>B8*1.02</f>
        <v>122907.36268800002</v>
      </c>
      <c r="C9" s="8">
        <v>44757</v>
      </c>
      <c r="D9" s="9">
        <v>2446.3485000000001</v>
      </c>
      <c r="E9" s="9">
        <f t="shared" si="0"/>
        <v>489.26970000000006</v>
      </c>
      <c r="F9" t="s">
        <v>11</v>
      </c>
      <c r="L9" s="11" t="s">
        <v>38</v>
      </c>
      <c r="M9" s="7">
        <f>M8*1.02</f>
        <v>122907.36268800002</v>
      </c>
      <c r="N9" s="8">
        <v>44757</v>
      </c>
      <c r="O9" s="9">
        <v>2446.3485000000001</v>
      </c>
      <c r="P9" s="9">
        <f t="shared" si="1"/>
        <v>489.26970000000006</v>
      </c>
    </row>
    <row r="10" spans="2:16" ht="15.5" x14ac:dyDescent="0.35">
      <c r="B10" s="7">
        <f>B9*0.8</f>
        <v>98325.890150400024</v>
      </c>
      <c r="C10" s="8">
        <v>44754</v>
      </c>
      <c r="D10" s="9">
        <v>2690.9833500000004</v>
      </c>
      <c r="E10" s="9">
        <f t="shared" si="0"/>
        <v>538.19667000000015</v>
      </c>
      <c r="F10" t="s">
        <v>12</v>
      </c>
      <c r="H10" s="2" t="s">
        <v>0</v>
      </c>
      <c r="I10" s="2" t="s">
        <v>3</v>
      </c>
      <c r="J10" s="2" t="s">
        <v>4</v>
      </c>
      <c r="L10" s="11" t="s">
        <v>39</v>
      </c>
      <c r="M10" s="7">
        <f>M9*0.8</f>
        <v>98325.890150400024</v>
      </c>
      <c r="N10" s="8">
        <v>44754</v>
      </c>
      <c r="O10" s="9">
        <v>2690.9833500000004</v>
      </c>
      <c r="P10" s="9">
        <f t="shared" si="1"/>
        <v>538.19667000000015</v>
      </c>
    </row>
    <row r="11" spans="2:16" ht="15.5" x14ac:dyDescent="0.35">
      <c r="B11" s="7">
        <f>B10*0.9</f>
        <v>88493.30113536003</v>
      </c>
      <c r="C11" s="8">
        <v>44756</v>
      </c>
      <c r="D11" s="9">
        <v>2960.0816850000001</v>
      </c>
      <c r="E11" s="9">
        <f t="shared" si="0"/>
        <v>592.01633700000002</v>
      </c>
      <c r="F11" t="s">
        <v>13</v>
      </c>
      <c r="H11" t="s">
        <v>6</v>
      </c>
      <c r="I11" s="5" cm="1">
        <f t="array" ref="I11:J11">_xlfn.XLOOKUP(H11,F3:F24,D3:E24)</f>
        <v>6197.4161999999997</v>
      </c>
      <c r="J11" s="5">
        <v>1239.48324</v>
      </c>
      <c r="L11" s="11" t="s">
        <v>40</v>
      </c>
      <c r="M11" s="7">
        <f>M10*0.9</f>
        <v>88493.30113536003</v>
      </c>
      <c r="N11" s="8">
        <v>44756</v>
      </c>
      <c r="O11" s="9">
        <v>2960.0816850000001</v>
      </c>
      <c r="P11" s="9">
        <f t="shared" si="1"/>
        <v>592.01633700000002</v>
      </c>
    </row>
    <row r="12" spans="2:16" ht="15.5" x14ac:dyDescent="0.35">
      <c r="B12" s="7">
        <f>B11*1.1</f>
        <v>97342.631248896039</v>
      </c>
      <c r="C12" s="8">
        <v>44751</v>
      </c>
      <c r="D12" s="9">
        <v>3256.0898535000001</v>
      </c>
      <c r="E12" s="9">
        <f t="shared" si="0"/>
        <v>651.21797070000002</v>
      </c>
      <c r="F12" t="s">
        <v>14</v>
      </c>
      <c r="L12" s="11" t="s">
        <v>41</v>
      </c>
      <c r="M12" s="7">
        <f>M11*1.1</f>
        <v>97342.631248896039</v>
      </c>
      <c r="N12" s="8">
        <v>44751</v>
      </c>
      <c r="O12" s="9">
        <v>3256.0898535000001</v>
      </c>
      <c r="P12" s="9">
        <f t="shared" si="1"/>
        <v>651.21797070000002</v>
      </c>
    </row>
    <row r="13" spans="2:16" ht="15.5" x14ac:dyDescent="0.35">
      <c r="B13" s="7">
        <f>B12*1.02</f>
        <v>99289.483873873964</v>
      </c>
      <c r="C13" s="8">
        <v>44755</v>
      </c>
      <c r="D13" s="9">
        <v>3581.6988388500008</v>
      </c>
      <c r="E13" s="9">
        <f t="shared" si="0"/>
        <v>716.33976777000021</v>
      </c>
      <c r="F13" t="s">
        <v>15</v>
      </c>
      <c r="H13" s="13" t="s">
        <v>28</v>
      </c>
      <c r="I13" s="13"/>
      <c r="L13" s="11" t="s">
        <v>42</v>
      </c>
      <c r="M13" s="7">
        <f>M12*1.02</f>
        <v>99289.483873873964</v>
      </c>
      <c r="N13" s="8">
        <v>44755</v>
      </c>
      <c r="O13" s="9">
        <v>3581.6988388500008</v>
      </c>
      <c r="P13" s="9">
        <f t="shared" si="1"/>
        <v>716.33976777000021</v>
      </c>
    </row>
    <row r="14" spans="2:16" ht="15.5" x14ac:dyDescent="0.35">
      <c r="B14" s="7">
        <f>B13*0.8</f>
        <v>79431.587099099183</v>
      </c>
      <c r="C14" s="8">
        <v>44758</v>
      </c>
      <c r="D14" s="9">
        <v>3939.8687227350015</v>
      </c>
      <c r="E14" s="9">
        <f t="shared" si="0"/>
        <v>787.97374454700036</v>
      </c>
      <c r="F14" t="s">
        <v>16</v>
      </c>
      <c r="H14" s="10" t="s">
        <v>0</v>
      </c>
      <c r="I14" s="10" t="s">
        <v>4</v>
      </c>
      <c r="L14" s="11" t="s">
        <v>43</v>
      </c>
      <c r="M14" s="7">
        <f>M13*0.8</f>
        <v>79431.587099099183</v>
      </c>
      <c r="N14" s="8">
        <v>44758</v>
      </c>
      <c r="O14" s="9">
        <v>3939.8687227350015</v>
      </c>
      <c r="P14" s="9">
        <f t="shared" si="1"/>
        <v>787.97374454700036</v>
      </c>
    </row>
    <row r="15" spans="2:16" x14ac:dyDescent="0.35">
      <c r="B15" s="7">
        <f>B14*0.9</f>
        <v>71488.42838918927</v>
      </c>
      <c r="C15" s="8">
        <v>44760</v>
      </c>
      <c r="D15" s="9">
        <v>4333.855595008502</v>
      </c>
      <c r="E15" s="9">
        <f t="shared" si="0"/>
        <v>866.77111900170041</v>
      </c>
      <c r="F15" t="s">
        <v>17</v>
      </c>
      <c r="H15" t="s">
        <v>44</v>
      </c>
      <c r="I15" s="5" t="str">
        <f>_xlfn.XLOOKUP(H15,F3:F24,E3:E24,"Not Found")</f>
        <v>Not Found</v>
      </c>
    </row>
    <row r="16" spans="2:16" x14ac:dyDescent="0.35">
      <c r="B16" s="7">
        <f>B15*1.1</f>
        <v>78637.271228108206</v>
      </c>
      <c r="C16" s="8">
        <v>44757</v>
      </c>
      <c r="D16" s="9">
        <v>4767.2411545093528</v>
      </c>
      <c r="E16" s="9">
        <f t="shared" si="0"/>
        <v>953.4482309018706</v>
      </c>
      <c r="F16" t="s">
        <v>18</v>
      </c>
    </row>
    <row r="17" spans="2:14" x14ac:dyDescent="0.35">
      <c r="B17" s="7">
        <f>B16*1.02</f>
        <v>80210.016652670369</v>
      </c>
      <c r="C17" s="8">
        <v>44759</v>
      </c>
      <c r="D17" s="9">
        <v>5243.9652699602884</v>
      </c>
      <c r="E17" s="9">
        <f t="shared" si="0"/>
        <v>1048.7930539920578</v>
      </c>
      <c r="F17" t="s">
        <v>19</v>
      </c>
    </row>
    <row r="18" spans="2:14" ht="15.5" x14ac:dyDescent="0.35">
      <c r="B18" s="7">
        <f>B17*0.8</f>
        <v>64168.013322136299</v>
      </c>
      <c r="C18" s="8">
        <v>44754</v>
      </c>
      <c r="D18" s="9">
        <v>5768.3617969563174</v>
      </c>
      <c r="E18" s="9">
        <f t="shared" si="0"/>
        <v>1153.6723593912636</v>
      </c>
      <c r="F18" t="s">
        <v>20</v>
      </c>
      <c r="M18" s="2" t="s">
        <v>30</v>
      </c>
      <c r="N18" s="2" t="s">
        <v>3</v>
      </c>
    </row>
    <row r="19" spans="2:14" x14ac:dyDescent="0.35">
      <c r="B19" s="7">
        <f>B18*0.9</f>
        <v>57751.211989922667</v>
      </c>
      <c r="C19" s="8">
        <v>44758</v>
      </c>
      <c r="D19" s="9">
        <v>5191.525617260686</v>
      </c>
      <c r="E19" s="9">
        <f t="shared" si="0"/>
        <v>1038.3051234521372</v>
      </c>
      <c r="F19" t="s">
        <v>21</v>
      </c>
      <c r="M19" s="12" t="s">
        <v>32</v>
      </c>
      <c r="N19" s="9">
        <f>_xlfn.XLOOKUP(M19&amp;"*",L3:L14,O3:O14,,2)</f>
        <v>6197.4161999999997</v>
      </c>
    </row>
    <row r="20" spans="2:14" x14ac:dyDescent="0.35">
      <c r="B20" s="7">
        <f>B19*1.1</f>
        <v>63526.333188914941</v>
      </c>
      <c r="C20" s="8">
        <v>44761</v>
      </c>
      <c r="D20" s="9">
        <v>6748.9833024388909</v>
      </c>
      <c r="E20" s="9">
        <f t="shared" si="0"/>
        <v>1349.7966604877784</v>
      </c>
      <c r="F20" t="s">
        <v>22</v>
      </c>
    </row>
    <row r="21" spans="2:14" x14ac:dyDescent="0.35">
      <c r="B21" s="7">
        <f>B20*1.02</f>
        <v>64796.85985269324</v>
      </c>
      <c r="C21" s="8">
        <v>44763</v>
      </c>
      <c r="D21" s="9">
        <v>8773.6782931705584</v>
      </c>
      <c r="E21" s="9">
        <f t="shared" si="0"/>
        <v>1754.7356586341118</v>
      </c>
      <c r="F21" t="s">
        <v>23</v>
      </c>
    </row>
    <row r="22" spans="2:14" x14ac:dyDescent="0.35">
      <c r="B22" s="7">
        <f>B21*0.8</f>
        <v>51837.487882154594</v>
      </c>
      <c r="C22" s="8">
        <v>44760</v>
      </c>
      <c r="D22" s="9">
        <v>11405.781781121728</v>
      </c>
      <c r="E22" s="9">
        <f t="shared" si="0"/>
        <v>2281.1563562243459</v>
      </c>
      <c r="F22" t="s">
        <v>24</v>
      </c>
    </row>
    <row r="23" spans="2:14" x14ac:dyDescent="0.35">
      <c r="B23" s="7">
        <f>B22*0.9</f>
        <v>46653.739093939133</v>
      </c>
      <c r="C23" s="8">
        <v>44762</v>
      </c>
      <c r="D23" s="9">
        <v>6650</v>
      </c>
      <c r="E23" s="9">
        <f t="shared" si="0"/>
        <v>1330</v>
      </c>
      <c r="F23" t="s">
        <v>25</v>
      </c>
    </row>
    <row r="24" spans="2:14" x14ac:dyDescent="0.35">
      <c r="B24" s="7">
        <f>B23*1.1</f>
        <v>51319.113003333048</v>
      </c>
      <c r="C24" s="8">
        <v>44757</v>
      </c>
      <c r="D24" s="9">
        <v>7341</v>
      </c>
      <c r="E24" s="9">
        <f t="shared" si="0"/>
        <v>1468.2</v>
      </c>
      <c r="F24" t="s">
        <v>26</v>
      </c>
    </row>
  </sheetData>
  <mergeCells count="3">
    <mergeCell ref="H2:I2"/>
    <mergeCell ref="H6:I6"/>
    <mergeCell ref="H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Goyal</dc:creator>
  <cp:lastModifiedBy>Aditi Goyal</cp:lastModifiedBy>
  <dcterms:created xsi:type="dcterms:W3CDTF">2026-01-26T08:58:14Z</dcterms:created>
  <dcterms:modified xsi:type="dcterms:W3CDTF">2026-01-26T09:18:10Z</dcterms:modified>
</cp:coreProperties>
</file>