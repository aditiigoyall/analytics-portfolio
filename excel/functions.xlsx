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GOYAL\Downloads\"/>
    </mc:Choice>
  </mc:AlternateContent>
  <xr:revisionPtr revIDLastSave="0" documentId="8_{51DBBCF7-0AED-4F0C-A658-0117871EEB1C}" xr6:coauthVersionLast="47" xr6:coauthVersionMax="47" xr10:uidLastSave="{00000000-0000-0000-0000-000000000000}"/>
  <bookViews>
    <workbookView xWindow="-110" yWindow="-110" windowWidth="22620" windowHeight="13500" xr2:uid="{B2550F4A-BAFC-4B33-A5A7-0A2A8232F886}"/>
  </bookViews>
  <sheets>
    <sheet name="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N2" i="1" a="1"/>
  <c r="N2" i="1" s="1"/>
  <c r="B21" i="1"/>
  <c r="M2" i="1" a="1"/>
  <c r="M2" i="1" s="1"/>
  <c r="L2" i="1" a="1"/>
  <c r="L2" i="1" s="1"/>
  <c r="B19" i="1"/>
  <c r="B18" i="1"/>
  <c r="B17" i="1"/>
  <c r="B15" i="1"/>
  <c r="B14" i="1"/>
  <c r="B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<sst xmlns="http://schemas.openxmlformats.org/spreadsheetml/2006/main" count="71" uniqueCount="44">
  <si>
    <t>OrderID</t>
  </si>
  <si>
    <t>OrderDate</t>
  </si>
  <si>
    <t>Region</t>
  </si>
  <si>
    <t>ProductCode</t>
  </si>
  <si>
    <t>Product</t>
  </si>
  <si>
    <t>Category</t>
  </si>
  <si>
    <t>UnitsSold</t>
  </si>
  <si>
    <t>UnitPrice</t>
  </si>
  <si>
    <t>Revenue</t>
  </si>
  <si>
    <t>SalesPerson</t>
  </si>
  <si>
    <t>North</t>
  </si>
  <si>
    <t>ELE-101</t>
  </si>
  <si>
    <t>Laptop</t>
  </si>
  <si>
    <t>Electronics</t>
  </si>
  <si>
    <t>Alex</t>
  </si>
  <si>
    <t>South</t>
  </si>
  <si>
    <t>ELE-102</t>
  </si>
  <si>
    <t>Mobile</t>
  </si>
  <si>
    <t>Jordan</t>
  </si>
  <si>
    <t>East</t>
  </si>
  <si>
    <t>FUR-201</t>
  </si>
  <si>
    <t>Chair</t>
  </si>
  <si>
    <t>Furniture</t>
  </si>
  <si>
    <t>Taylor</t>
  </si>
  <si>
    <t>West</t>
  </si>
  <si>
    <t>FUR-202</t>
  </si>
  <si>
    <t>Table</t>
  </si>
  <si>
    <t>Casey</t>
  </si>
  <si>
    <t>CLO-301</t>
  </si>
  <si>
    <t>Jacket</t>
  </si>
  <si>
    <t>Clothing</t>
  </si>
  <si>
    <t>CLO-302</t>
  </si>
  <si>
    <t>T-Shirt</t>
  </si>
  <si>
    <t>COUNT</t>
  </si>
  <si>
    <t>COUNTIF</t>
  </si>
  <si>
    <t>COUNTIFS</t>
  </si>
  <si>
    <t>SUM</t>
  </si>
  <si>
    <t>SUMIF</t>
  </si>
  <si>
    <t>SUMIFS</t>
  </si>
  <si>
    <t>IF</t>
  </si>
  <si>
    <t>IFS</t>
  </si>
  <si>
    <t>MAX</t>
  </si>
  <si>
    <t>LEFT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</si>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</sst>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4" fontId="0" fillId="0" borderId="8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EE2D4-FDC1-46CE-AB9B-1055F9AAF8BB}" name="Table1" displayName="Table1" ref="A1:J11" totalsRowShown="0" headerRowDxfId="0" dataDxfId="14" headerRowBorderDxfId="12" tableBorderDxfId="13" totalsRowBorderDxfId="11">
  <autoFilter ref="A1:J11" xr:uid="{943EE2D4-FDC1-46CE-AB9B-1055F9AAF8BB}"/>
  <tableColumns count="10">
    <tableColumn id="1" xr3:uid="{9EEAC1A6-9BE5-4CD0-847E-A9CA2015DB8D}" name="OrderID" dataDxfId="10"/>
    <tableColumn id="2" xr3:uid="{BB3AD9DD-0E65-43F1-8D06-2940FB6485F0}" name="OrderDate" dataDxfId="9"/>
    <tableColumn id="3" xr3:uid="{3AF50BC2-EC01-49E2-BB85-6E11E8CB7B86}" name="Region" dataDxfId="8"/>
    <tableColumn id="4" xr3:uid="{95A0ED32-EA94-4EFC-852C-99C010A8C148}" name="ProductCode" dataDxfId="7"/>
    <tableColumn id="5" xr3:uid="{9C882072-A514-41FA-B960-7AB6035218FD}" name="Product" dataDxfId="6"/>
    <tableColumn id="6" xr3:uid="{6C173C8D-6FC0-4826-884E-D4F93A3448F5}" name="Category" dataDxfId="5"/>
    <tableColumn id="7" xr3:uid="{7B8B7757-5238-4078-BABF-B86059FDAEC6}" name="UnitsSold" dataDxfId="4"/>
    <tableColumn id="8" xr3:uid="{CE12ECED-4606-4C72-9A2B-6385DEB7CBE3}" name="UnitPrice" dataDxfId="3"/>
    <tableColumn id="9" xr3:uid="{19C47DFC-DC25-4E6F-91C1-B03F790209D8}" name="Revenue" dataDxfId="2"/>
    <tableColumn id="10" xr3:uid="{48CC5F3C-B3B2-4583-9CEB-608321A04F4B}" name="SalesPer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491E-7BD6-4E92-BF1F-84C376C64D4C}">
  <dimension ref="A1:N22"/>
  <sheetViews>
    <sheetView tabSelected="1" workbookViewId="0">
      <selection activeCell="D26" sqref="D26"/>
    </sheetView>
  </sheetViews>
  <sheetFormatPr defaultRowHeight="14.5" x14ac:dyDescent="0.35"/>
  <cols>
    <col min="1" max="1" width="12.08984375" bestFit="1" customWidth="1"/>
    <col min="2" max="2" width="14.26953125" bestFit="1" customWidth="1"/>
    <col min="3" max="3" width="11" bestFit="1" customWidth="1"/>
    <col min="4" max="4" width="15.1796875" bestFit="1" customWidth="1"/>
    <col min="5" max="5" width="12" bestFit="1" customWidth="1"/>
    <col min="6" max="6" width="12.81640625" bestFit="1" customWidth="1"/>
    <col min="7" max="7" width="13.26953125" bestFit="1" customWidth="1"/>
    <col min="8" max="8" width="13" bestFit="1" customWidth="1"/>
    <col min="9" max="9" width="12.54296875" bestFit="1" customWidth="1"/>
    <col min="10" max="10" width="15.36328125" bestFit="1" customWidth="1"/>
    <col min="12" max="12" width="12.0898437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L1" s="14" t="s">
        <v>39</v>
      </c>
      <c r="M1" s="14" t="s">
        <v>40</v>
      </c>
      <c r="N1" s="14" t="s">
        <v>42</v>
      </c>
    </row>
    <row r="2" spans="1:14" x14ac:dyDescent="0.35">
      <c r="A2" s="4">
        <v>1001</v>
      </c>
      <c r="B2" s="5">
        <v>45658</v>
      </c>
      <c r="C2" s="6" t="s">
        <v>10</v>
      </c>
      <c r="D2" s="6" t="s">
        <v>11</v>
      </c>
      <c r="E2" s="6" t="s">
        <v>12</v>
      </c>
      <c r="F2" s="6" t="s">
        <v>13</v>
      </c>
      <c r="G2" s="6">
        <v>5</v>
      </c>
      <c r="H2" s="6">
        <v>55000</v>
      </c>
      <c r="I2" s="6">
        <v>275000</v>
      </c>
      <c r="J2" s="7" t="s">
        <v>14</v>
      </c>
      <c r="L2" s="12" t="str" cm="1">
        <f t="array" ref="L2:L11">IF(Table1[Revenue]&gt;150000,"High Value","Normal Value")</f>
        <v>High Value</v>
      </c>
      <c r="M2" s="12" t="str" cm="1">
        <f t="array" ref="M2:M11">_xlfn.IFS(Table1[Revenue]&gt;150000,"High",Table1[Revenue] &gt;= 50000,"Medium",Table1[Revenue]&lt;50000, "Low")</f>
        <v>High</v>
      </c>
      <c r="N2" s="12" t="str" cm="1">
        <f t="array" ref="N2:N11">LEFT(Table1[Category],3)</f>
        <v>Ele</v>
      </c>
    </row>
    <row r="3" spans="1:14" x14ac:dyDescent="0.35">
      <c r="A3" s="4">
        <v>1002</v>
      </c>
      <c r="B3" s="5">
        <v>45689</v>
      </c>
      <c r="C3" s="6" t="s">
        <v>15</v>
      </c>
      <c r="D3" s="6" t="s">
        <v>16</v>
      </c>
      <c r="E3" s="6" t="s">
        <v>17</v>
      </c>
      <c r="F3" s="6" t="s">
        <v>13</v>
      </c>
      <c r="G3" s="6">
        <v>10</v>
      </c>
      <c r="H3" s="6">
        <v>20000</v>
      </c>
      <c r="I3" s="6">
        <v>200000</v>
      </c>
      <c r="J3" s="7" t="s">
        <v>18</v>
      </c>
      <c r="L3" s="12" t="str">
        <v>High Value</v>
      </c>
      <c r="M3" s="12" t="str">
        <v>High</v>
      </c>
      <c r="N3" s="12" t="str">
        <v>Ele</v>
      </c>
    </row>
    <row r="4" spans="1:14" x14ac:dyDescent="0.35">
      <c r="A4" s="4">
        <v>1003</v>
      </c>
      <c r="B4" s="5">
        <v>45717</v>
      </c>
      <c r="C4" s="6" t="s">
        <v>19</v>
      </c>
      <c r="D4" s="6" t="s">
        <v>20</v>
      </c>
      <c r="E4" s="6" t="s">
        <v>21</v>
      </c>
      <c r="F4" s="6" t="s">
        <v>22</v>
      </c>
      <c r="G4" s="6">
        <v>15</v>
      </c>
      <c r="H4" s="6">
        <v>3000</v>
      </c>
      <c r="I4" s="6">
        <v>45000</v>
      </c>
      <c r="J4" s="7" t="s">
        <v>23</v>
      </c>
      <c r="L4" s="12" t="str">
        <v>Normal Value</v>
      </c>
      <c r="M4" s="12" t="str">
        <v>Low</v>
      </c>
      <c r="N4" s="12" t="str">
        <v>Fur</v>
      </c>
    </row>
    <row r="5" spans="1:14" x14ac:dyDescent="0.35">
      <c r="A5" s="4">
        <v>1004</v>
      </c>
      <c r="B5" s="5">
        <v>45748</v>
      </c>
      <c r="C5" s="6" t="s">
        <v>24</v>
      </c>
      <c r="D5" s="6" t="s">
        <v>25</v>
      </c>
      <c r="E5" s="6" t="s">
        <v>26</v>
      </c>
      <c r="F5" s="6" t="s">
        <v>22</v>
      </c>
      <c r="G5" s="6">
        <v>7</v>
      </c>
      <c r="H5" s="6">
        <v>8000</v>
      </c>
      <c r="I5" s="6">
        <v>56000</v>
      </c>
      <c r="J5" s="7" t="s">
        <v>27</v>
      </c>
      <c r="L5" s="12" t="str">
        <v>Normal Value</v>
      </c>
      <c r="M5" s="12" t="str">
        <v>Medium</v>
      </c>
      <c r="N5" s="12" t="str">
        <v>Fur</v>
      </c>
    </row>
    <row r="6" spans="1:14" x14ac:dyDescent="0.35">
      <c r="A6" s="4">
        <v>1005</v>
      </c>
      <c r="B6" s="5">
        <v>45778</v>
      </c>
      <c r="C6" s="6" t="s">
        <v>10</v>
      </c>
      <c r="D6" s="6" t="s">
        <v>28</v>
      </c>
      <c r="E6" s="6" t="s">
        <v>29</v>
      </c>
      <c r="F6" s="6" t="s">
        <v>30</v>
      </c>
      <c r="G6" s="6">
        <v>12</v>
      </c>
      <c r="H6" s="6">
        <v>4000</v>
      </c>
      <c r="I6" s="6">
        <v>48000</v>
      </c>
      <c r="J6" s="7" t="s">
        <v>14</v>
      </c>
      <c r="L6" s="12" t="str">
        <v>Normal Value</v>
      </c>
      <c r="M6" s="12" t="str">
        <v>Low</v>
      </c>
      <c r="N6" s="12" t="str">
        <v>Clo</v>
      </c>
    </row>
    <row r="7" spans="1:14" x14ac:dyDescent="0.35">
      <c r="A7" s="4">
        <v>1006</v>
      </c>
      <c r="B7" s="5">
        <v>45809</v>
      </c>
      <c r="C7" s="6" t="s">
        <v>15</v>
      </c>
      <c r="D7" s="6" t="s">
        <v>11</v>
      </c>
      <c r="E7" s="6" t="s">
        <v>12</v>
      </c>
      <c r="F7" s="6" t="s">
        <v>13</v>
      </c>
      <c r="G7" s="6">
        <v>3</v>
      </c>
      <c r="H7" s="6">
        <v>55000</v>
      </c>
      <c r="I7" s="6">
        <v>165000</v>
      </c>
      <c r="J7" s="7" t="s">
        <v>18</v>
      </c>
      <c r="L7" s="12" t="str">
        <v>High Value</v>
      </c>
      <c r="M7" s="12" t="str">
        <v>High</v>
      </c>
      <c r="N7" s="12" t="str">
        <v>Ele</v>
      </c>
    </row>
    <row r="8" spans="1:14" x14ac:dyDescent="0.35">
      <c r="A8" s="4">
        <v>1007</v>
      </c>
      <c r="B8" s="5">
        <v>45839</v>
      </c>
      <c r="C8" s="6" t="s">
        <v>19</v>
      </c>
      <c r="D8" s="6" t="s">
        <v>31</v>
      </c>
      <c r="E8" s="6" t="s">
        <v>32</v>
      </c>
      <c r="F8" s="6" t="s">
        <v>30</v>
      </c>
      <c r="G8" s="6">
        <v>25</v>
      </c>
      <c r="H8" s="6">
        <v>1200</v>
      </c>
      <c r="I8" s="6">
        <v>30000</v>
      </c>
      <c r="J8" s="7" t="s">
        <v>23</v>
      </c>
      <c r="L8" s="12" t="str">
        <v>Normal Value</v>
      </c>
      <c r="M8" s="12" t="str">
        <v>Low</v>
      </c>
      <c r="N8" s="12" t="str">
        <v>Clo</v>
      </c>
    </row>
    <row r="9" spans="1:14" x14ac:dyDescent="0.35">
      <c r="A9" s="4">
        <v>1008</v>
      </c>
      <c r="B9" s="5">
        <v>45870</v>
      </c>
      <c r="C9" s="6" t="s">
        <v>24</v>
      </c>
      <c r="D9" s="6" t="s">
        <v>16</v>
      </c>
      <c r="E9" s="6" t="s">
        <v>17</v>
      </c>
      <c r="F9" s="6" t="s">
        <v>13</v>
      </c>
      <c r="G9" s="6">
        <v>8</v>
      </c>
      <c r="H9" s="6">
        <v>20000</v>
      </c>
      <c r="I9" s="6">
        <v>160000</v>
      </c>
      <c r="J9" s="7" t="s">
        <v>27</v>
      </c>
      <c r="L9" s="12" t="str">
        <v>High Value</v>
      </c>
      <c r="M9" s="12" t="str">
        <v>High</v>
      </c>
      <c r="N9" s="12" t="str">
        <v>Ele</v>
      </c>
    </row>
    <row r="10" spans="1:14" x14ac:dyDescent="0.35">
      <c r="A10" s="4">
        <v>1009</v>
      </c>
      <c r="B10" s="5">
        <v>45901</v>
      </c>
      <c r="C10" s="6" t="s">
        <v>10</v>
      </c>
      <c r="D10" s="6" t="s">
        <v>20</v>
      </c>
      <c r="E10" s="6" t="s">
        <v>21</v>
      </c>
      <c r="F10" s="6" t="s">
        <v>22</v>
      </c>
      <c r="G10" s="6">
        <v>20</v>
      </c>
      <c r="H10" s="6">
        <v>3000</v>
      </c>
      <c r="I10" s="6">
        <v>60000</v>
      </c>
      <c r="J10" s="7" t="s">
        <v>14</v>
      </c>
      <c r="L10" s="12" t="str">
        <v>Normal Value</v>
      </c>
      <c r="M10" s="12" t="str">
        <v>Medium</v>
      </c>
      <c r="N10" s="12" t="str">
        <v>Fur</v>
      </c>
    </row>
    <row r="11" spans="1:14" x14ac:dyDescent="0.35">
      <c r="A11" s="8">
        <v>1010</v>
      </c>
      <c r="B11" s="9">
        <v>45931</v>
      </c>
      <c r="C11" s="10" t="s">
        <v>15</v>
      </c>
      <c r="D11" s="10" t="s">
        <v>28</v>
      </c>
      <c r="E11" s="10" t="s">
        <v>29</v>
      </c>
      <c r="F11" s="10" t="s">
        <v>30</v>
      </c>
      <c r="G11" s="10">
        <v>6</v>
      </c>
      <c r="H11" s="10">
        <v>4000</v>
      </c>
      <c r="I11" s="10">
        <v>24000</v>
      </c>
      <c r="J11" s="11" t="s">
        <v>18</v>
      </c>
      <c r="L11" s="12" t="str">
        <v>Normal Value</v>
      </c>
      <c r="M11" s="12" t="str">
        <v>Low</v>
      </c>
      <c r="N11" s="12" t="str">
        <v>Clo</v>
      </c>
    </row>
    <row r="12" spans="1:14" x14ac:dyDescent="0.35">
      <c r="I12" s="12"/>
    </row>
    <row r="13" spans="1:14" x14ac:dyDescent="0.35">
      <c r="A13" s="14" t="s">
        <v>33</v>
      </c>
      <c r="B13" s="12">
        <f>COUNT(Table1[OrderID])</f>
        <v>10</v>
      </c>
    </row>
    <row r="14" spans="1:14" x14ac:dyDescent="0.35">
      <c r="A14" s="14" t="s">
        <v>34</v>
      </c>
      <c r="B14" s="12">
        <f>COUNTIF(Table1[Region],C2)</f>
        <v>3</v>
      </c>
    </row>
    <row r="15" spans="1:14" x14ac:dyDescent="0.35">
      <c r="A15" s="14" t="s">
        <v>35</v>
      </c>
      <c r="B15" s="12">
        <f>COUNTIFS(Table1[Category],F2,Table1[Region],C3)</f>
        <v>2</v>
      </c>
    </row>
    <row r="16" spans="1:14" x14ac:dyDescent="0.35">
      <c r="A16" s="13"/>
    </row>
    <row r="17" spans="1:2" x14ac:dyDescent="0.35">
      <c r="A17" s="14" t="s">
        <v>36</v>
      </c>
      <c r="B17" s="12">
        <f>SUM(Table1[Revenue])</f>
        <v>1063000</v>
      </c>
    </row>
    <row r="18" spans="1:2" x14ac:dyDescent="0.35">
      <c r="A18" s="14" t="s">
        <v>37</v>
      </c>
      <c r="B18" s="12">
        <f>SUMIF(Table1[Category],F4,Table1[Revenue])</f>
        <v>161000</v>
      </c>
    </row>
    <row r="19" spans="1:2" x14ac:dyDescent="0.35">
      <c r="A19" s="14" t="s">
        <v>38</v>
      </c>
      <c r="B19" s="12">
        <f>SUMIFS(Table1[Revenue],Table1[Region],C2,Table1[Category],F2)</f>
        <v>275000</v>
      </c>
    </row>
    <row r="20" spans="1:2" x14ac:dyDescent="0.35">
      <c r="A20" s="13"/>
    </row>
    <row r="21" spans="1:2" x14ac:dyDescent="0.35">
      <c r="A21" s="14" t="s">
        <v>41</v>
      </c>
      <c r="B21" s="12">
        <f>MAX(Table1[Revenue])</f>
        <v>275000</v>
      </c>
    </row>
    <row r="22" spans="1:2" x14ac:dyDescent="0.35">
      <c r="A22" s="14" t="s">
        <v>43</v>
      </c>
      <c r="B22" s="12">
        <f>MIN(Table1[Revenue])</f>
        <v>24000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0724A91-8B3E-49F2-9F0D-71C007B2D6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Functions!I2:I11</xm:f>
              <xm:sqref>I12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Goyal</dc:creator>
  <cp:lastModifiedBy>Aditi Goyal</cp:lastModifiedBy>
  <dcterms:created xsi:type="dcterms:W3CDTF">2026-01-26T12:53:38Z</dcterms:created>
  <dcterms:modified xsi:type="dcterms:W3CDTF">2026-01-26T13:27:00Z</dcterms:modified>
</cp:coreProperties>
</file>